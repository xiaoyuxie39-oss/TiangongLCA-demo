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" sheetId="1" state="visible" r:id="rId1"/>
    <sheet name="Entri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A2E2A"/>
      <sz val="18"/>
    </font>
    <font>
      <i val="1"/>
      <color rgb="007A8C7E"/>
    </font>
    <font>
      <b val="1"/>
      <sz val="12"/>
    </font>
    <font>
      <b val="1"/>
      <color rgb="00B8622E"/>
    </font>
    <font>
      <b val="1"/>
      <color rgb="005B7F3A"/>
    </font>
  </fonts>
  <fills count="3">
    <fill>
      <patternFill/>
    </fill>
    <fill>
      <patternFill patternType="gray125"/>
    </fill>
    <fill>
      <patternFill patternType="solid">
        <fgColor rgb="003A2E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SVE climate change by electricity provider (mean, t CO2-eq)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'Live'!B12</f>
            </strRef>
          </tx>
          <spPr>
            <a:ln>
              <a:prstDash val="solid"/>
            </a:ln>
          </spPr>
          <cat>
            <numRef>
              <f>'Live'!$A$13:$A$43</f>
            </numRef>
          </cat>
          <val>
            <numRef>
              <f>'Live'!$B$13:$B$43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CO2-eq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climate change: SVE vs Biopile (t CO2-eq)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'Live'!D5</f>
            </strRef>
          </tx>
          <spPr>
            <a:ln>
              <a:prstDash val="solid"/>
            </a:ln>
          </spPr>
          <cat>
            <numRef>
              <f>'Live'!$A$6:$A$7</f>
            </numRef>
          </cat>
          <val>
            <numRef>
              <f>'Live'!$D$6:$D$7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37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SVE vs biopile · live results board</t>
        </is>
      </c>
    </row>
    <row r="2">
      <c r="A2" s="2" t="inlineStr">
        <is>
          <t>Rows come from the Entries tab; this tab recalculates as groups type. Paper: Jeong &amp; Suh (2011), Table 5: 360 t (SVE) and 52.1 t (biopile) CO2.</t>
        </is>
      </c>
    </row>
    <row r="4">
      <c r="A4" s="3" t="inlineStr">
        <is>
          <t>Summary</t>
        </is>
      </c>
    </row>
    <row r="5">
      <c r="A5" s="4" t="inlineStr"/>
      <c r="B5" s="4" t="inlineStr">
        <is>
          <t>entries</t>
        </is>
      </c>
      <c r="C5" s="4" t="inlineStr">
        <is>
          <t>min</t>
        </is>
      </c>
      <c r="D5" s="4" t="inlineStr">
        <is>
          <t>median</t>
        </is>
      </c>
      <c r="E5" s="4" t="inlineStr">
        <is>
          <t>max</t>
        </is>
      </c>
      <c r="F5" s="4" t="inlineStr">
        <is>
          <t>mean</t>
        </is>
      </c>
      <c r="G5" s="4" t="inlineStr">
        <is>
          <t>paper (t CO2)</t>
        </is>
      </c>
    </row>
    <row r="6">
      <c r="A6" s="5" t="inlineStr">
        <is>
          <t>SVE</t>
        </is>
      </c>
      <c r="B6" s="6">
        <f>COUNTIF(Entries!$B$2:$B$500,"SVE")</f>
        <v/>
      </c>
      <c r="C6" s="7">
        <f>IFERROR(MINIFS(Entries!$D$2:$D$500,Entries!$B$2:$B$500,"SVE"),"")</f>
        <v/>
      </c>
      <c r="D6" s="7">
        <f>IFERROR(MEDIAN(FILTER(Entries!$D$2:$D$500,Entries!$B$2:$B$500="SVE")),"")</f>
        <v/>
      </c>
      <c r="E6" s="7">
        <f>IFERROR(MAXIFS(Entries!$D$2:$D$500,Entries!$B$2:$B$500,"SVE"),"")</f>
        <v/>
      </c>
      <c r="F6" s="7">
        <f>IFERROR(AVERAGEIF(Entries!$B$2:$B$500,"SVE",Entries!$D$2:$D$500),"")</f>
        <v/>
      </c>
      <c r="G6" s="7" t="n">
        <v>360</v>
      </c>
    </row>
    <row r="7">
      <c r="A7" s="8" t="inlineStr">
        <is>
          <t>Biopile</t>
        </is>
      </c>
      <c r="B7" s="6">
        <f>COUNTIF(Entries!$B$2:$B$500,"Biopile")</f>
        <v/>
      </c>
      <c r="C7" s="7">
        <f>IFERROR(MINIFS(Entries!$D$2:$D$500,Entries!$B$2:$B$500,"Biopile"),"")</f>
        <v/>
      </c>
      <c r="D7" s="7">
        <f>IFERROR(MEDIAN(FILTER(Entries!$D$2:$D$500,Entries!$B$2:$B$500="Biopile")),"")</f>
        <v/>
      </c>
      <c r="E7" s="7">
        <f>IFERROR(MAXIFS(Entries!$D$2:$D$500,Entries!$B$2:$B$500,"Biopile"),"")</f>
        <v/>
      </c>
      <c r="F7" s="7">
        <f>IFERROR(AVERAGEIF(Entries!$B$2:$B$500,"Biopile",Entries!$D$2:$D$500),"")</f>
        <v/>
      </c>
      <c r="G7" s="7" t="n">
        <v>52.1</v>
      </c>
    </row>
    <row r="8">
      <c r="A8" s="9" t="inlineStr">
        <is>
          <t>SVE / Biopile (medians)</t>
        </is>
      </c>
      <c r="B8" s="7" t="n"/>
      <c r="C8" s="7" t="n"/>
      <c r="D8" s="7">
        <f>IFERROR(D6/D7,"")</f>
        <v/>
      </c>
      <c r="E8" s="7" t="n"/>
      <c r="F8" s="7" t="n"/>
      <c r="G8" s="7">
        <f>ROUND(360/52.1,1)</f>
        <v/>
      </c>
    </row>
    <row r="9">
      <c r="A9" t="inlineStr">
        <is>
          <t>Groups reporting</t>
        </is>
      </c>
      <c r="B9" s="6">
        <f>SUMPRODUCT((Entries!$A$2:$A$500&lt;&gt;"")/COUNTIF(Entries!$A$2:$A$500,Entries!$A$2:$A$500&amp;""))</f>
        <v/>
      </c>
      <c r="C9" s="7" t="n"/>
      <c r="D9" s="7" t="n"/>
      <c r="E9" s="7" t="n"/>
      <c r="F9" s="7" t="n"/>
      <c r="G9" s="7" t="n"/>
    </row>
    <row r="11">
      <c r="A11" s="3" t="inlineStr">
        <is>
          <t>By electricity provider</t>
        </is>
      </c>
    </row>
    <row r="12">
      <c r="A12" s="4" t="inlineStr">
        <is>
          <t>Provider</t>
        </is>
      </c>
      <c r="B12" s="4" t="inlineStr">
        <is>
          <t>SVE mean (t)</t>
        </is>
      </c>
      <c r="C12" s="4" t="inlineStr">
        <is>
          <t>SVE n</t>
        </is>
      </c>
      <c r="D12" s="4" t="inlineStr">
        <is>
          <t>Biopile mean (t)</t>
        </is>
      </c>
      <c r="E12" s="4" t="inlineStr">
        <is>
          <t>Biopile n</t>
        </is>
      </c>
    </row>
    <row r="13">
      <c r="A13" t="inlineStr">
        <is>
          <t>China average</t>
        </is>
      </c>
      <c r="B13" s="7">
        <f>IFERROR(AVERAGEIFS(Entries!$D$2:$D$500,Entries!$B$2:$B$500,"SVE",Entries!$C$2:$C$500,$A13),"")</f>
        <v/>
      </c>
      <c r="C13">
        <f>COUNTIFS(Entries!$B$2:$B$500,"SVE",Entries!$C$2:$C$500,$A13)</f>
        <v/>
      </c>
      <c r="D13" s="7">
        <f>IFERROR(AVERAGEIFS(Entries!$D$2:$D$500,Entries!$B$2:$B$500,"Biopile",Entries!$C$2:$C$500,$A13),"")</f>
        <v/>
      </c>
      <c r="E13">
        <f>COUNTIFS(Entries!$B$2:$B$500,"Biopile",Entries!$C$2:$C$500,$A13)</f>
        <v/>
      </c>
    </row>
    <row r="14">
      <c r="A14" t="inlineStr">
        <is>
          <t>Anhui</t>
        </is>
      </c>
      <c r="B14" s="7">
        <f>IFERROR(AVERAGEIFS(Entries!$D$2:$D$500,Entries!$B$2:$B$500,"SVE",Entries!$C$2:$C$500,$A14),"")</f>
        <v/>
      </c>
      <c r="C14">
        <f>COUNTIFS(Entries!$B$2:$B$500,"SVE",Entries!$C$2:$C$500,$A14)</f>
        <v/>
      </c>
      <c r="D14" s="7">
        <f>IFERROR(AVERAGEIFS(Entries!$D$2:$D$500,Entries!$B$2:$B$500,"Biopile",Entries!$C$2:$C$500,$A14),"")</f>
        <v/>
      </c>
      <c r="E14">
        <f>COUNTIFS(Entries!$B$2:$B$500,"Biopile",Entries!$C$2:$C$500,$A14)</f>
        <v/>
      </c>
    </row>
    <row r="15">
      <c r="A15" t="inlineStr">
        <is>
          <t>Beijing</t>
        </is>
      </c>
      <c r="B15" s="7">
        <f>IFERROR(AVERAGEIFS(Entries!$D$2:$D$500,Entries!$B$2:$B$500,"SVE",Entries!$C$2:$C$500,$A15),"")</f>
        <v/>
      </c>
      <c r="C15">
        <f>COUNTIFS(Entries!$B$2:$B$500,"SVE",Entries!$C$2:$C$500,$A15)</f>
        <v/>
      </c>
      <c r="D15" s="7">
        <f>IFERROR(AVERAGEIFS(Entries!$D$2:$D$500,Entries!$B$2:$B$500,"Biopile",Entries!$C$2:$C$500,$A15),"")</f>
        <v/>
      </c>
      <c r="E15">
        <f>COUNTIFS(Entries!$B$2:$B$500,"Biopile",Entries!$C$2:$C$500,$A15)</f>
        <v/>
      </c>
    </row>
    <row r="16">
      <c r="A16" t="inlineStr">
        <is>
          <t>Chongqing</t>
        </is>
      </c>
      <c r="B16" s="7">
        <f>IFERROR(AVERAGEIFS(Entries!$D$2:$D$500,Entries!$B$2:$B$500,"SVE",Entries!$C$2:$C$500,$A16),"")</f>
        <v/>
      </c>
      <c r="C16">
        <f>COUNTIFS(Entries!$B$2:$B$500,"SVE",Entries!$C$2:$C$500,$A16)</f>
        <v/>
      </c>
      <c r="D16" s="7">
        <f>IFERROR(AVERAGEIFS(Entries!$D$2:$D$500,Entries!$B$2:$B$500,"Biopile",Entries!$C$2:$C$500,$A16),"")</f>
        <v/>
      </c>
      <c r="E16">
        <f>COUNTIFS(Entries!$B$2:$B$500,"Biopile",Entries!$C$2:$C$500,$A16)</f>
        <v/>
      </c>
    </row>
    <row r="17">
      <c r="A17" t="inlineStr">
        <is>
          <t>Fujian</t>
        </is>
      </c>
      <c r="B17" s="7">
        <f>IFERROR(AVERAGEIFS(Entries!$D$2:$D$500,Entries!$B$2:$B$500,"SVE",Entries!$C$2:$C$500,$A17),"")</f>
        <v/>
      </c>
      <c r="C17">
        <f>COUNTIFS(Entries!$B$2:$B$500,"SVE",Entries!$C$2:$C$500,$A17)</f>
        <v/>
      </c>
      <c r="D17" s="7">
        <f>IFERROR(AVERAGEIFS(Entries!$D$2:$D$500,Entries!$B$2:$B$500,"Biopile",Entries!$C$2:$C$500,$A17),"")</f>
        <v/>
      </c>
      <c r="E17">
        <f>COUNTIFS(Entries!$B$2:$B$500,"Biopile",Entries!$C$2:$C$500,$A17)</f>
        <v/>
      </c>
    </row>
    <row r="18">
      <c r="A18" t="inlineStr">
        <is>
          <t>Gansu</t>
        </is>
      </c>
      <c r="B18" s="7">
        <f>IFERROR(AVERAGEIFS(Entries!$D$2:$D$500,Entries!$B$2:$B$500,"SVE",Entries!$C$2:$C$500,$A18),"")</f>
        <v/>
      </c>
      <c r="C18">
        <f>COUNTIFS(Entries!$B$2:$B$500,"SVE",Entries!$C$2:$C$500,$A18)</f>
        <v/>
      </c>
      <c r="D18" s="7">
        <f>IFERROR(AVERAGEIFS(Entries!$D$2:$D$500,Entries!$B$2:$B$500,"Biopile",Entries!$C$2:$C$500,$A18),"")</f>
        <v/>
      </c>
      <c r="E18">
        <f>COUNTIFS(Entries!$B$2:$B$500,"Biopile",Entries!$C$2:$C$500,$A18)</f>
        <v/>
      </c>
    </row>
    <row r="19">
      <c r="A19" t="inlineStr">
        <is>
          <t>Guangdong</t>
        </is>
      </c>
      <c r="B19" s="7">
        <f>IFERROR(AVERAGEIFS(Entries!$D$2:$D$500,Entries!$B$2:$B$500,"SVE",Entries!$C$2:$C$500,$A19),"")</f>
        <v/>
      </c>
      <c r="C19">
        <f>COUNTIFS(Entries!$B$2:$B$500,"SVE",Entries!$C$2:$C$500,$A19)</f>
        <v/>
      </c>
      <c r="D19" s="7">
        <f>IFERROR(AVERAGEIFS(Entries!$D$2:$D$500,Entries!$B$2:$B$500,"Biopile",Entries!$C$2:$C$500,$A19),"")</f>
        <v/>
      </c>
      <c r="E19">
        <f>COUNTIFS(Entries!$B$2:$B$500,"Biopile",Entries!$C$2:$C$500,$A19)</f>
        <v/>
      </c>
    </row>
    <row r="20">
      <c r="A20" t="inlineStr">
        <is>
          <t>Guangxi</t>
        </is>
      </c>
      <c r="B20" s="7">
        <f>IFERROR(AVERAGEIFS(Entries!$D$2:$D$500,Entries!$B$2:$B$500,"SVE",Entries!$C$2:$C$500,$A20),"")</f>
        <v/>
      </c>
      <c r="C20">
        <f>COUNTIFS(Entries!$B$2:$B$500,"SVE",Entries!$C$2:$C$500,$A20)</f>
        <v/>
      </c>
      <c r="D20" s="7">
        <f>IFERROR(AVERAGEIFS(Entries!$D$2:$D$500,Entries!$B$2:$B$500,"Biopile",Entries!$C$2:$C$500,$A20),"")</f>
        <v/>
      </c>
      <c r="E20">
        <f>COUNTIFS(Entries!$B$2:$B$500,"Biopile",Entries!$C$2:$C$500,$A20)</f>
        <v/>
      </c>
    </row>
    <row r="21">
      <c r="A21" t="inlineStr">
        <is>
          <t>Guizhou</t>
        </is>
      </c>
      <c r="B21" s="7">
        <f>IFERROR(AVERAGEIFS(Entries!$D$2:$D$500,Entries!$B$2:$B$500,"SVE",Entries!$C$2:$C$500,$A21),"")</f>
        <v/>
      </c>
      <c r="C21">
        <f>COUNTIFS(Entries!$B$2:$B$500,"SVE",Entries!$C$2:$C$500,$A21)</f>
        <v/>
      </c>
      <c r="D21" s="7">
        <f>IFERROR(AVERAGEIFS(Entries!$D$2:$D$500,Entries!$B$2:$B$500,"Biopile",Entries!$C$2:$C$500,$A21),"")</f>
        <v/>
      </c>
      <c r="E21">
        <f>COUNTIFS(Entries!$B$2:$B$500,"Biopile",Entries!$C$2:$C$500,$A21)</f>
        <v/>
      </c>
    </row>
    <row r="22">
      <c r="A22" t="inlineStr">
        <is>
          <t>Hainan</t>
        </is>
      </c>
      <c r="B22" s="7">
        <f>IFERROR(AVERAGEIFS(Entries!$D$2:$D$500,Entries!$B$2:$B$500,"SVE",Entries!$C$2:$C$500,$A22),"")</f>
        <v/>
      </c>
      <c r="C22">
        <f>COUNTIFS(Entries!$B$2:$B$500,"SVE",Entries!$C$2:$C$500,$A22)</f>
        <v/>
      </c>
      <c r="D22" s="7">
        <f>IFERROR(AVERAGEIFS(Entries!$D$2:$D$500,Entries!$B$2:$B$500,"Biopile",Entries!$C$2:$C$500,$A22),"")</f>
        <v/>
      </c>
      <c r="E22">
        <f>COUNTIFS(Entries!$B$2:$B$500,"Biopile",Entries!$C$2:$C$500,$A22)</f>
        <v/>
      </c>
    </row>
    <row r="23">
      <c r="A23" t="inlineStr">
        <is>
          <t>Hebei</t>
        </is>
      </c>
      <c r="B23" s="7">
        <f>IFERROR(AVERAGEIFS(Entries!$D$2:$D$500,Entries!$B$2:$B$500,"SVE",Entries!$C$2:$C$500,$A23),"")</f>
        <v/>
      </c>
      <c r="C23">
        <f>COUNTIFS(Entries!$B$2:$B$500,"SVE",Entries!$C$2:$C$500,$A23)</f>
        <v/>
      </c>
      <c r="D23" s="7">
        <f>IFERROR(AVERAGEIFS(Entries!$D$2:$D$500,Entries!$B$2:$B$500,"Biopile",Entries!$C$2:$C$500,$A23),"")</f>
        <v/>
      </c>
      <c r="E23">
        <f>COUNTIFS(Entries!$B$2:$B$500,"Biopile",Entries!$C$2:$C$500,$A23)</f>
        <v/>
      </c>
    </row>
    <row r="24">
      <c r="A24" t="inlineStr">
        <is>
          <t>Heilongjiang</t>
        </is>
      </c>
      <c r="B24" s="7">
        <f>IFERROR(AVERAGEIFS(Entries!$D$2:$D$500,Entries!$B$2:$B$500,"SVE",Entries!$C$2:$C$500,$A24),"")</f>
        <v/>
      </c>
      <c r="C24">
        <f>COUNTIFS(Entries!$B$2:$B$500,"SVE",Entries!$C$2:$C$500,$A24)</f>
        <v/>
      </c>
      <c r="D24" s="7">
        <f>IFERROR(AVERAGEIFS(Entries!$D$2:$D$500,Entries!$B$2:$B$500,"Biopile",Entries!$C$2:$C$500,$A24),"")</f>
        <v/>
      </c>
      <c r="E24">
        <f>COUNTIFS(Entries!$B$2:$B$500,"Biopile",Entries!$C$2:$C$500,$A24)</f>
        <v/>
      </c>
    </row>
    <row r="25">
      <c r="A25" t="inlineStr">
        <is>
          <t>Henan</t>
        </is>
      </c>
      <c r="B25" s="7">
        <f>IFERROR(AVERAGEIFS(Entries!$D$2:$D$500,Entries!$B$2:$B$500,"SVE",Entries!$C$2:$C$500,$A25),"")</f>
        <v/>
      </c>
      <c r="C25">
        <f>COUNTIFS(Entries!$B$2:$B$500,"SVE",Entries!$C$2:$C$500,$A25)</f>
        <v/>
      </c>
      <c r="D25" s="7">
        <f>IFERROR(AVERAGEIFS(Entries!$D$2:$D$500,Entries!$B$2:$B$500,"Biopile",Entries!$C$2:$C$500,$A25),"")</f>
        <v/>
      </c>
      <c r="E25">
        <f>COUNTIFS(Entries!$B$2:$B$500,"Biopile",Entries!$C$2:$C$500,$A25)</f>
        <v/>
      </c>
    </row>
    <row r="26">
      <c r="A26" t="inlineStr">
        <is>
          <t>Hubei</t>
        </is>
      </c>
      <c r="B26" s="7">
        <f>IFERROR(AVERAGEIFS(Entries!$D$2:$D$500,Entries!$B$2:$B$500,"SVE",Entries!$C$2:$C$500,$A26),"")</f>
        <v/>
      </c>
      <c r="C26">
        <f>COUNTIFS(Entries!$B$2:$B$500,"SVE",Entries!$C$2:$C$500,$A26)</f>
        <v/>
      </c>
      <c r="D26" s="7">
        <f>IFERROR(AVERAGEIFS(Entries!$D$2:$D$500,Entries!$B$2:$B$500,"Biopile",Entries!$C$2:$C$500,$A26),"")</f>
        <v/>
      </c>
      <c r="E26">
        <f>COUNTIFS(Entries!$B$2:$B$500,"Biopile",Entries!$C$2:$C$500,$A26)</f>
        <v/>
      </c>
    </row>
    <row r="27">
      <c r="A27" t="inlineStr">
        <is>
          <t>Hunan</t>
        </is>
      </c>
      <c r="B27" s="7">
        <f>IFERROR(AVERAGEIFS(Entries!$D$2:$D$500,Entries!$B$2:$B$500,"SVE",Entries!$C$2:$C$500,$A27),"")</f>
        <v/>
      </c>
      <c r="C27">
        <f>COUNTIFS(Entries!$B$2:$B$500,"SVE",Entries!$C$2:$C$500,$A27)</f>
        <v/>
      </c>
      <c r="D27" s="7">
        <f>IFERROR(AVERAGEIFS(Entries!$D$2:$D$500,Entries!$B$2:$B$500,"Biopile",Entries!$C$2:$C$500,$A27),"")</f>
        <v/>
      </c>
      <c r="E27">
        <f>COUNTIFS(Entries!$B$2:$B$500,"Biopile",Entries!$C$2:$C$500,$A27)</f>
        <v/>
      </c>
    </row>
    <row r="28">
      <c r="A28" t="inlineStr">
        <is>
          <t>Inner Mongolia</t>
        </is>
      </c>
      <c r="B28" s="7">
        <f>IFERROR(AVERAGEIFS(Entries!$D$2:$D$500,Entries!$B$2:$B$500,"SVE",Entries!$C$2:$C$500,$A28),"")</f>
        <v/>
      </c>
      <c r="C28">
        <f>COUNTIFS(Entries!$B$2:$B$500,"SVE",Entries!$C$2:$C$500,$A28)</f>
        <v/>
      </c>
      <c r="D28" s="7">
        <f>IFERROR(AVERAGEIFS(Entries!$D$2:$D$500,Entries!$B$2:$B$500,"Biopile",Entries!$C$2:$C$500,$A28),"")</f>
        <v/>
      </c>
      <c r="E28">
        <f>COUNTIFS(Entries!$B$2:$B$500,"Biopile",Entries!$C$2:$C$500,$A28)</f>
        <v/>
      </c>
    </row>
    <row r="29">
      <c r="A29" t="inlineStr">
        <is>
          <t>Jiangsu</t>
        </is>
      </c>
      <c r="B29" s="7">
        <f>IFERROR(AVERAGEIFS(Entries!$D$2:$D$500,Entries!$B$2:$B$500,"SVE",Entries!$C$2:$C$500,$A29),"")</f>
        <v/>
      </c>
      <c r="C29">
        <f>COUNTIFS(Entries!$B$2:$B$500,"SVE",Entries!$C$2:$C$500,$A29)</f>
        <v/>
      </c>
      <c r="D29" s="7">
        <f>IFERROR(AVERAGEIFS(Entries!$D$2:$D$500,Entries!$B$2:$B$500,"Biopile",Entries!$C$2:$C$500,$A29),"")</f>
        <v/>
      </c>
      <c r="E29">
        <f>COUNTIFS(Entries!$B$2:$B$500,"Biopile",Entries!$C$2:$C$500,$A29)</f>
        <v/>
      </c>
    </row>
    <row r="30">
      <c r="A30" t="inlineStr">
        <is>
          <t>Jiangxi</t>
        </is>
      </c>
      <c r="B30" s="7">
        <f>IFERROR(AVERAGEIFS(Entries!$D$2:$D$500,Entries!$B$2:$B$500,"SVE",Entries!$C$2:$C$500,$A30),"")</f>
        <v/>
      </c>
      <c r="C30">
        <f>COUNTIFS(Entries!$B$2:$B$500,"SVE",Entries!$C$2:$C$500,$A30)</f>
        <v/>
      </c>
      <c r="D30" s="7">
        <f>IFERROR(AVERAGEIFS(Entries!$D$2:$D$500,Entries!$B$2:$B$500,"Biopile",Entries!$C$2:$C$500,$A30),"")</f>
        <v/>
      </c>
      <c r="E30">
        <f>COUNTIFS(Entries!$B$2:$B$500,"Biopile",Entries!$C$2:$C$500,$A30)</f>
        <v/>
      </c>
    </row>
    <row r="31">
      <c r="A31" t="inlineStr">
        <is>
          <t>Jilin</t>
        </is>
      </c>
      <c r="B31" s="7">
        <f>IFERROR(AVERAGEIFS(Entries!$D$2:$D$500,Entries!$B$2:$B$500,"SVE",Entries!$C$2:$C$500,$A31),"")</f>
        <v/>
      </c>
      <c r="C31">
        <f>COUNTIFS(Entries!$B$2:$B$500,"SVE",Entries!$C$2:$C$500,$A31)</f>
        <v/>
      </c>
      <c r="D31" s="7">
        <f>IFERROR(AVERAGEIFS(Entries!$D$2:$D$500,Entries!$B$2:$B$500,"Biopile",Entries!$C$2:$C$500,$A31),"")</f>
        <v/>
      </c>
      <c r="E31">
        <f>COUNTIFS(Entries!$B$2:$B$500,"Biopile",Entries!$C$2:$C$500,$A31)</f>
        <v/>
      </c>
    </row>
    <row r="32">
      <c r="A32" t="inlineStr">
        <is>
          <t>Liaoning</t>
        </is>
      </c>
      <c r="B32" s="7">
        <f>IFERROR(AVERAGEIFS(Entries!$D$2:$D$500,Entries!$B$2:$B$500,"SVE",Entries!$C$2:$C$500,$A32),"")</f>
        <v/>
      </c>
      <c r="C32">
        <f>COUNTIFS(Entries!$B$2:$B$500,"SVE",Entries!$C$2:$C$500,$A32)</f>
        <v/>
      </c>
      <c r="D32" s="7">
        <f>IFERROR(AVERAGEIFS(Entries!$D$2:$D$500,Entries!$B$2:$B$500,"Biopile",Entries!$C$2:$C$500,$A32),"")</f>
        <v/>
      </c>
      <c r="E32">
        <f>COUNTIFS(Entries!$B$2:$B$500,"Biopile",Entries!$C$2:$C$500,$A32)</f>
        <v/>
      </c>
    </row>
    <row r="33">
      <c r="A33" t="inlineStr">
        <is>
          <t>Ningxia</t>
        </is>
      </c>
      <c r="B33" s="7">
        <f>IFERROR(AVERAGEIFS(Entries!$D$2:$D$500,Entries!$B$2:$B$500,"SVE",Entries!$C$2:$C$500,$A33),"")</f>
        <v/>
      </c>
      <c r="C33">
        <f>COUNTIFS(Entries!$B$2:$B$500,"SVE",Entries!$C$2:$C$500,$A33)</f>
        <v/>
      </c>
      <c r="D33" s="7">
        <f>IFERROR(AVERAGEIFS(Entries!$D$2:$D$500,Entries!$B$2:$B$500,"Biopile",Entries!$C$2:$C$500,$A33),"")</f>
        <v/>
      </c>
      <c r="E33">
        <f>COUNTIFS(Entries!$B$2:$B$500,"Biopile",Entries!$C$2:$C$500,$A33)</f>
        <v/>
      </c>
    </row>
    <row r="34">
      <c r="A34" t="inlineStr">
        <is>
          <t>Qinghai</t>
        </is>
      </c>
      <c r="B34" s="7">
        <f>IFERROR(AVERAGEIFS(Entries!$D$2:$D$500,Entries!$B$2:$B$500,"SVE",Entries!$C$2:$C$500,$A34),"")</f>
        <v/>
      </c>
      <c r="C34">
        <f>COUNTIFS(Entries!$B$2:$B$500,"SVE",Entries!$C$2:$C$500,$A34)</f>
        <v/>
      </c>
      <c r="D34" s="7">
        <f>IFERROR(AVERAGEIFS(Entries!$D$2:$D$500,Entries!$B$2:$B$500,"Biopile",Entries!$C$2:$C$500,$A34),"")</f>
        <v/>
      </c>
      <c r="E34">
        <f>COUNTIFS(Entries!$B$2:$B$500,"Biopile",Entries!$C$2:$C$500,$A34)</f>
        <v/>
      </c>
    </row>
    <row r="35">
      <c r="A35" t="inlineStr">
        <is>
          <t>Shaanxi</t>
        </is>
      </c>
      <c r="B35" s="7">
        <f>IFERROR(AVERAGEIFS(Entries!$D$2:$D$500,Entries!$B$2:$B$500,"SVE",Entries!$C$2:$C$500,$A35),"")</f>
        <v/>
      </c>
      <c r="C35">
        <f>COUNTIFS(Entries!$B$2:$B$500,"SVE",Entries!$C$2:$C$500,$A35)</f>
        <v/>
      </c>
      <c r="D35" s="7">
        <f>IFERROR(AVERAGEIFS(Entries!$D$2:$D$500,Entries!$B$2:$B$500,"Biopile",Entries!$C$2:$C$500,$A35),"")</f>
        <v/>
      </c>
      <c r="E35">
        <f>COUNTIFS(Entries!$B$2:$B$500,"Biopile",Entries!$C$2:$C$500,$A35)</f>
        <v/>
      </c>
    </row>
    <row r="36">
      <c r="A36" t="inlineStr">
        <is>
          <t>Shandong</t>
        </is>
      </c>
      <c r="B36" s="7">
        <f>IFERROR(AVERAGEIFS(Entries!$D$2:$D$500,Entries!$B$2:$B$500,"SVE",Entries!$C$2:$C$500,$A36),"")</f>
        <v/>
      </c>
      <c r="C36">
        <f>COUNTIFS(Entries!$B$2:$B$500,"SVE",Entries!$C$2:$C$500,$A36)</f>
        <v/>
      </c>
      <c r="D36" s="7">
        <f>IFERROR(AVERAGEIFS(Entries!$D$2:$D$500,Entries!$B$2:$B$500,"Biopile",Entries!$C$2:$C$500,$A36),"")</f>
        <v/>
      </c>
      <c r="E36">
        <f>COUNTIFS(Entries!$B$2:$B$500,"Biopile",Entries!$C$2:$C$500,$A36)</f>
        <v/>
      </c>
    </row>
    <row r="37">
      <c r="A37" t="inlineStr">
        <is>
          <t>Shanghai</t>
        </is>
      </c>
      <c r="B37" s="7">
        <f>IFERROR(AVERAGEIFS(Entries!$D$2:$D$500,Entries!$B$2:$B$500,"SVE",Entries!$C$2:$C$500,$A37),"")</f>
        <v/>
      </c>
      <c r="C37">
        <f>COUNTIFS(Entries!$B$2:$B$500,"SVE",Entries!$C$2:$C$500,$A37)</f>
        <v/>
      </c>
      <c r="D37" s="7">
        <f>IFERROR(AVERAGEIFS(Entries!$D$2:$D$500,Entries!$B$2:$B$500,"Biopile",Entries!$C$2:$C$500,$A37),"")</f>
        <v/>
      </c>
      <c r="E37">
        <f>COUNTIFS(Entries!$B$2:$B$500,"Biopile",Entries!$C$2:$C$500,$A37)</f>
        <v/>
      </c>
    </row>
    <row r="38">
      <c r="A38" t="inlineStr">
        <is>
          <t>Shanxi</t>
        </is>
      </c>
      <c r="B38" s="7">
        <f>IFERROR(AVERAGEIFS(Entries!$D$2:$D$500,Entries!$B$2:$B$500,"SVE",Entries!$C$2:$C$500,$A38),"")</f>
        <v/>
      </c>
      <c r="C38">
        <f>COUNTIFS(Entries!$B$2:$B$500,"SVE",Entries!$C$2:$C$500,$A38)</f>
        <v/>
      </c>
      <c r="D38" s="7">
        <f>IFERROR(AVERAGEIFS(Entries!$D$2:$D$500,Entries!$B$2:$B$500,"Biopile",Entries!$C$2:$C$500,$A38),"")</f>
        <v/>
      </c>
      <c r="E38">
        <f>COUNTIFS(Entries!$B$2:$B$500,"Biopile",Entries!$C$2:$C$500,$A38)</f>
        <v/>
      </c>
    </row>
    <row r="39">
      <c r="A39" t="inlineStr">
        <is>
          <t>Sichuan</t>
        </is>
      </c>
      <c r="B39" s="7">
        <f>IFERROR(AVERAGEIFS(Entries!$D$2:$D$500,Entries!$B$2:$B$500,"SVE",Entries!$C$2:$C$500,$A39),"")</f>
        <v/>
      </c>
      <c r="C39">
        <f>COUNTIFS(Entries!$B$2:$B$500,"SVE",Entries!$C$2:$C$500,$A39)</f>
        <v/>
      </c>
      <c r="D39" s="7">
        <f>IFERROR(AVERAGEIFS(Entries!$D$2:$D$500,Entries!$B$2:$B$500,"Biopile",Entries!$C$2:$C$500,$A39),"")</f>
        <v/>
      </c>
      <c r="E39">
        <f>COUNTIFS(Entries!$B$2:$B$500,"Biopile",Entries!$C$2:$C$500,$A39)</f>
        <v/>
      </c>
    </row>
    <row r="40">
      <c r="A40" t="inlineStr">
        <is>
          <t>Tianjin</t>
        </is>
      </c>
      <c r="B40" s="7">
        <f>IFERROR(AVERAGEIFS(Entries!$D$2:$D$500,Entries!$B$2:$B$500,"SVE",Entries!$C$2:$C$500,$A40),"")</f>
        <v/>
      </c>
      <c r="C40">
        <f>COUNTIFS(Entries!$B$2:$B$500,"SVE",Entries!$C$2:$C$500,$A40)</f>
        <v/>
      </c>
      <c r="D40" s="7">
        <f>IFERROR(AVERAGEIFS(Entries!$D$2:$D$500,Entries!$B$2:$B$500,"Biopile",Entries!$C$2:$C$500,$A40),"")</f>
        <v/>
      </c>
      <c r="E40">
        <f>COUNTIFS(Entries!$B$2:$B$500,"Biopile",Entries!$C$2:$C$500,$A40)</f>
        <v/>
      </c>
    </row>
    <row r="41">
      <c r="A41" t="inlineStr">
        <is>
          <t>Xinjiang</t>
        </is>
      </c>
      <c r="B41" s="7">
        <f>IFERROR(AVERAGEIFS(Entries!$D$2:$D$500,Entries!$B$2:$B$500,"SVE",Entries!$C$2:$C$500,$A41),"")</f>
        <v/>
      </c>
      <c r="C41">
        <f>COUNTIFS(Entries!$B$2:$B$500,"SVE",Entries!$C$2:$C$500,$A41)</f>
        <v/>
      </c>
      <c r="D41" s="7">
        <f>IFERROR(AVERAGEIFS(Entries!$D$2:$D$500,Entries!$B$2:$B$500,"Biopile",Entries!$C$2:$C$500,$A41),"")</f>
        <v/>
      </c>
      <c r="E41">
        <f>COUNTIFS(Entries!$B$2:$B$500,"Biopile",Entries!$C$2:$C$500,$A41)</f>
        <v/>
      </c>
    </row>
    <row r="42">
      <c r="A42" t="inlineStr">
        <is>
          <t>Yunnan</t>
        </is>
      </c>
      <c r="B42" s="7">
        <f>IFERROR(AVERAGEIFS(Entries!$D$2:$D$500,Entries!$B$2:$B$500,"SVE",Entries!$C$2:$C$500,$A42),"")</f>
        <v/>
      </c>
      <c r="C42">
        <f>COUNTIFS(Entries!$B$2:$B$500,"SVE",Entries!$C$2:$C$500,$A42)</f>
        <v/>
      </c>
      <c r="D42" s="7">
        <f>IFERROR(AVERAGEIFS(Entries!$D$2:$D$500,Entries!$B$2:$B$500,"Biopile",Entries!$C$2:$C$500,$A42),"")</f>
        <v/>
      </c>
      <c r="E42">
        <f>COUNTIFS(Entries!$B$2:$B$500,"Biopile",Entries!$C$2:$C$500,$A42)</f>
        <v/>
      </c>
    </row>
    <row r="43">
      <c r="A43" t="inlineStr">
        <is>
          <t>Zhejiang</t>
        </is>
      </c>
      <c r="B43" s="7">
        <f>IFERROR(AVERAGEIFS(Entries!$D$2:$D$500,Entries!$B$2:$B$500,"SVE",Entries!$C$2:$C$500,$A43),"")</f>
        <v/>
      </c>
      <c r="C43">
        <f>COUNTIFS(Entries!$B$2:$B$500,"SVE",Entries!$C$2:$C$500,$A43)</f>
        <v/>
      </c>
      <c r="D43" s="7">
        <f>IFERROR(AVERAGEIFS(Entries!$D$2:$D$500,Entries!$B$2:$B$500,"Biopile",Entries!$C$2:$C$500,$A43),"")</f>
        <v/>
      </c>
      <c r="E43">
        <f>COUNTIFS(Entries!$B$2:$B$500,"Biopile",Entries!$C$2:$C$500,$A43)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2" customWidth="1" min="4" max="4"/>
    <col width="36" customWidth="1" min="5" max="5"/>
    <col width="60" customWidth="1" min="7" max="7"/>
  </cols>
  <sheetData>
    <row r="1" ht="30" customHeight="1">
      <c r="A1" s="10" t="inlineStr">
        <is>
          <t>Group</t>
        </is>
      </c>
      <c r="B1" s="10" t="inlineStr">
        <is>
          <t>System</t>
        </is>
      </c>
      <c r="C1" s="10" t="inlineStr">
        <is>
          <t>Electricity provider (TianGong)</t>
        </is>
      </c>
      <c r="D1" s="10" t="inlineStr">
        <is>
          <t>Climate change, t CO2-eq</t>
        </is>
      </c>
      <c r="E1" s="10" t="inlineStr">
        <is>
          <t>Note</t>
        </is>
      </c>
      <c r="G1" s="9" t="inlineStr">
        <is>
          <t>How to enter</t>
        </is>
      </c>
    </row>
    <row r="2" ht="60" customHeight="1">
      <c r="G2" s="11" t="inlineStr">
        <is>
          <t>One row per result: your group name, SVE or Biopile, the electricity provider you chose in the tool, and the climate change total in tonnes of CO2-eq. The Live tab updates by itself.</t>
        </is>
      </c>
    </row>
  </sheetData>
  <dataValidations count="3">
    <dataValidation sqref="B2:B500" showDropDown="0" showInputMessage="0" showErrorMessage="1" allowBlank="1" errorTitle="System" error="Choose SVE or Biopile" type="list">
      <formula1>=Lists!$A$2:$A$3</formula1>
    </dataValidation>
    <dataValidation sqref="C2:C500" showDropDown="0" showInputMessage="0" showErrorMessage="0" allowBlank="1" type="list">
      <formula1>=Lists!$B$2:$B$32</formula1>
    </dataValidation>
    <dataValidation sqref="D2:D500" showDropDown="0" showInputMessage="0" showErrorMessage="1" allowBlank="1" errorTitle="Number" error="Enter tonnes of CO2-eq as a number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Electricity provider</t>
        </is>
      </c>
    </row>
    <row r="2">
      <c r="A2" t="inlineStr">
        <is>
          <t>SVE</t>
        </is>
      </c>
      <c r="B2" t="inlineStr">
        <is>
          <t>China average</t>
        </is>
      </c>
    </row>
    <row r="3">
      <c r="A3" t="inlineStr">
        <is>
          <t>Biopile</t>
        </is>
      </c>
      <c r="B3" t="inlineStr">
        <is>
          <t>Anhui</t>
        </is>
      </c>
    </row>
    <row r="4">
      <c r="B4" t="inlineStr">
        <is>
          <t>Beijing</t>
        </is>
      </c>
    </row>
    <row r="5">
      <c r="B5" t="inlineStr">
        <is>
          <t>Chongqing</t>
        </is>
      </c>
    </row>
    <row r="6">
      <c r="B6" t="inlineStr">
        <is>
          <t>Fujian</t>
        </is>
      </c>
    </row>
    <row r="7">
      <c r="B7" t="inlineStr">
        <is>
          <t>Gansu</t>
        </is>
      </c>
    </row>
    <row r="8">
      <c r="B8" t="inlineStr">
        <is>
          <t>Guangdong</t>
        </is>
      </c>
    </row>
    <row r="9">
      <c r="B9" t="inlineStr">
        <is>
          <t>Guangxi</t>
        </is>
      </c>
    </row>
    <row r="10">
      <c r="B10" t="inlineStr">
        <is>
          <t>Guizhou</t>
        </is>
      </c>
    </row>
    <row r="11">
      <c r="B11" t="inlineStr">
        <is>
          <t>Hainan</t>
        </is>
      </c>
    </row>
    <row r="12">
      <c r="B12" t="inlineStr">
        <is>
          <t>Hebei</t>
        </is>
      </c>
    </row>
    <row r="13">
      <c r="B13" t="inlineStr">
        <is>
          <t>Heilongjiang</t>
        </is>
      </c>
    </row>
    <row r="14">
      <c r="B14" t="inlineStr">
        <is>
          <t>Henan</t>
        </is>
      </c>
    </row>
    <row r="15">
      <c r="B15" t="inlineStr">
        <is>
          <t>Hubei</t>
        </is>
      </c>
    </row>
    <row r="16">
      <c r="B16" t="inlineStr">
        <is>
          <t>Hunan</t>
        </is>
      </c>
    </row>
    <row r="17">
      <c r="B17" t="inlineStr">
        <is>
          <t>Inner Mongolia</t>
        </is>
      </c>
    </row>
    <row r="18">
      <c r="B18" t="inlineStr">
        <is>
          <t>Jiangsu</t>
        </is>
      </c>
    </row>
    <row r="19">
      <c r="B19" t="inlineStr">
        <is>
          <t>Jiangxi</t>
        </is>
      </c>
    </row>
    <row r="20">
      <c r="B20" t="inlineStr">
        <is>
          <t>Jilin</t>
        </is>
      </c>
    </row>
    <row r="21">
      <c r="B21" t="inlineStr">
        <is>
          <t>Liaoning</t>
        </is>
      </c>
    </row>
    <row r="22">
      <c r="B22" t="inlineStr">
        <is>
          <t>Ningxia</t>
        </is>
      </c>
    </row>
    <row r="23">
      <c r="B23" t="inlineStr">
        <is>
          <t>Qinghai</t>
        </is>
      </c>
    </row>
    <row r="24">
      <c r="B24" t="inlineStr">
        <is>
          <t>Shaanxi</t>
        </is>
      </c>
    </row>
    <row r="25">
      <c r="B25" t="inlineStr">
        <is>
          <t>Shandong</t>
        </is>
      </c>
    </row>
    <row r="26">
      <c r="B26" t="inlineStr">
        <is>
          <t>Shanghai</t>
        </is>
      </c>
    </row>
    <row r="27">
      <c r="B27" t="inlineStr">
        <is>
          <t>Shanxi</t>
        </is>
      </c>
    </row>
    <row r="28">
      <c r="B28" t="inlineStr">
        <is>
          <t>Sichuan</t>
        </is>
      </c>
    </row>
    <row r="29">
      <c r="B29" t="inlineStr">
        <is>
          <t>Tianjin</t>
        </is>
      </c>
    </row>
    <row r="30">
      <c r="B30" t="inlineStr">
        <is>
          <t>Xinjiang</t>
        </is>
      </c>
    </row>
    <row r="31">
      <c r="B31" t="inlineStr">
        <is>
          <t>Yunnan</t>
        </is>
      </c>
    </row>
    <row r="32">
      <c r="B32" t="inlineStr">
        <is>
          <t>Zhejiang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2026-10-02T09:10:36Z</dcterms:created>
  <dcterms:modified xsi:type="dcterms:W3CDTF">2026-10-02T09:10:36Z</dcterms:modified>
</cp:coreProperties>
</file>